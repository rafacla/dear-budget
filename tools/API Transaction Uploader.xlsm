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0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ar-budget\tools\"/>
    </mc:Choice>
  </mc:AlternateContent>
  <xr:revisionPtr revIDLastSave="0" documentId="13_ncr:1_{4385F722-E453-4A92-9B5C-8B5B054DA1CC}" xr6:coauthVersionLast="47" xr6:coauthVersionMax="47" xr10:uidLastSave="{00000000-0000-0000-0000-000000000000}"/>
  <bookViews>
    <workbookView xWindow="-108" yWindow="-108" windowWidth="23256" windowHeight="12720" activeTab="3" xr2:uid="{8C36285A-FA2F-468B-8BEE-8C7DC275FE8E}"/>
  </bookViews>
  <sheets>
    <sheet name="Start Here" sheetId="1" r:id="rId1"/>
    <sheet name="Filters" sheetId="4" r:id="rId2"/>
    <sheet name="Server data" sheetId="2" r:id="rId3"/>
    <sheet name="Transactions" sheetId="3" r:id="rId4"/>
  </sheets>
  <functionGroups builtInGroupCount="19"/>
  <definedNames>
    <definedName name="apiToken">'Start Here'!$C$4</definedName>
    <definedName name="assetAccountNames">_xlfn.ANCHORARRAY(Filters!$B$2)</definedName>
    <definedName name="expenseAccountNames">_xlfn.ANCHORARRAY(Filters!$C$2)</definedName>
    <definedName name="listBudgets">_xlfn.ANCHORARRAY(Filters!#REF!)</definedName>
    <definedName name="listExpenseCategories">_xlfn.ANCHORARRAY(Filters!$E$2)</definedName>
    <definedName name="listIncomeCategories">_xlfn.ANCHORARRAY(Filters!$F$2)</definedName>
    <definedName name="revenueAccountNames">_xlfn.ANCHORARRAY(Filters!$D$2)</definedName>
    <definedName name="serverAddress">'Start Here'!$C$2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3" l="1"/>
  <c r="H6" i="3"/>
  <c r="F5" i="3"/>
  <c r="H5" i="3"/>
  <c r="F4" i="3"/>
  <c r="H4" i="3"/>
  <c r="F3" i="3"/>
  <c r="H3" i="3"/>
  <c r="F2" i="4" a="1"/>
  <c r="F2" i="4" s="1"/>
  <c r="E2" i="4" a="1"/>
  <c r="E2" i="4" s="1"/>
  <c r="D2" i="4" a="1"/>
  <c r="D2" i="4" s="1"/>
  <c r="C2" i="4" a="1"/>
  <c r="C2" i="4" s="1"/>
  <c r="B2" i="4" a="1"/>
  <c r="B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<sst xmlns="http://schemas.openxmlformats.org/spreadsheetml/2006/main" count="81" uniqueCount="66">
  <si>
    <t>Server Address:</t>
  </si>
  <si>
    <t>Token:</t>
  </si>
  <si>
    <t>Instructions:</t>
  </si>
  <si>
    <t>1) At sheet 'Server data', click Download Data - this will populate table with all of your accounts and categories. This will allow you to pick the correct Account and Category on sheet Transactions</t>
  </si>
  <si>
    <t>2) At stheet Transactions, fill with the transactions you want to upload back to server, then click on "Upload Data"</t>
  </si>
  <si>
    <t>Asset Accounts</t>
  </si>
  <si>
    <t>Expense Accounts</t>
  </si>
  <si>
    <t>Revenue Accounts</t>
  </si>
  <si>
    <t>List of All Accounts on Server</t>
  </si>
  <si>
    <t>List of All Categories on Server</t>
  </si>
  <si>
    <t>ID</t>
  </si>
  <si>
    <t>Name</t>
  </si>
  <si>
    <t>Type</t>
  </si>
  <si>
    <t>List of Transactions to Upload to Server</t>
  </si>
  <si>
    <t>Date</t>
  </si>
  <si>
    <t>Description</t>
  </si>
  <si>
    <t>Amount</t>
  </si>
  <si>
    <t>Source Account Type</t>
  </si>
  <si>
    <t>Source Account Name</t>
  </si>
  <si>
    <t>Destination Account Type</t>
  </si>
  <si>
    <t>Destination Account Name</t>
  </si>
  <si>
    <t>Category Name</t>
  </si>
  <si>
    <t>Status</t>
  </si>
  <si>
    <t>Mercado</t>
  </si>
  <si>
    <t>Santander</t>
  </si>
  <si>
    <t>Mensalidades</t>
  </si>
  <si>
    <t>http://127.0.0.1:8000/api/</t>
  </si>
  <si>
    <t>ORWWNKXpxa7915QBr36WZVSImVZc5kuzQPcst95Q</t>
  </si>
  <si>
    <t>HABB</t>
  </si>
  <si>
    <t>PDA</t>
  </si>
  <si>
    <t>Aluguel</t>
  </si>
  <si>
    <t>Role</t>
  </si>
  <si>
    <t>Currency ID</t>
  </si>
  <si>
    <t>checkingAccount</t>
  </si>
  <si>
    <t>incomeAccount</t>
  </si>
  <si>
    <t>expenseAccount</t>
  </si>
  <si>
    <t>Concessionárias</t>
  </si>
  <si>
    <t>Aluguel / Financiamento / Condomínio</t>
  </si>
  <si>
    <t>Netflix, Youtube, Sportify...</t>
  </si>
  <si>
    <t>Internet / TV / Telefone</t>
  </si>
  <si>
    <t>Jantar, Refeições e delivery de comida</t>
  </si>
  <si>
    <t>Taxis e despesas relacionadas a Carro</t>
  </si>
  <si>
    <t>Compras Eventuais</t>
  </si>
  <si>
    <t>Vestuário</t>
  </si>
  <si>
    <t>Casa: reparos e materiais</t>
  </si>
  <si>
    <t>Presentes e doações</t>
  </si>
  <si>
    <t>Economias para férias</t>
  </si>
  <si>
    <t>Economias para gastos futuros</t>
  </si>
  <si>
    <t>Salário</t>
  </si>
  <si>
    <t>Rendimentos de investimentos</t>
  </si>
  <si>
    <t>Outras fontes</t>
  </si>
  <si>
    <t>Expense</t>
  </si>
  <si>
    <t>Teste Excel</t>
  </si>
  <si>
    <t>income</t>
  </si>
  <si>
    <t>Expense Categories</t>
  </si>
  <si>
    <t>Income Categories</t>
  </si>
  <si>
    <t>Duplicated with TransactionJournal 6.</t>
  </si>
  <si>
    <t>excel1</t>
  </si>
  <si>
    <t>excel2</t>
  </si>
  <si>
    <t>excel3</t>
  </si>
  <si>
    <t>transfer</t>
  </si>
  <si>
    <t>expense</t>
  </si>
  <si>
    <t>Pão De Açucar</t>
  </si>
  <si>
    <t>Duplicated with TransactionJournal 7.</t>
  </si>
  <si>
    <t>Duplicated with TransactionJournal 9.</t>
  </si>
  <si>
    <t>Transaction 0 can't have credit account equal to debit account.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</si>
</sst>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6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u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3">
    <xf numFmtId="0" fontId="0" fillId="2" borderId="0"/>
    <xf numFmtId="43" fontId="1" fillId="0" borderId="0" applyFont="0" applyFill="0" applyBorder="0" applyAlignment="0" applyProtection="0"/>
    <xf numFmtId="0" fontId="4" fillId="2" borderId="0" applyNumberFormat="0" applyFill="0" applyBorder="0" applyAlignment="0" applyProtection="0"/>
  </cellStyleXfs>
  <cellXfs count="15">
    <xf numFmtId="0" fontId="0" fillId="2" borderId="0" xfId="0"/>
    <xf numFmtId="0" fontId="2" fillId="2" borderId="0" xfId="0" applyFont="1"/>
    <xf numFmtId="0" fontId="4" fillId="3" borderId="1" xfId="2" applyFill="1" applyBorder="1" applyProtection="1">
      <protection locked="0"/>
    </xf>
    <xf numFmtId="0" fontId="0" fillId="2" borderId="0" xfId="0" applyFont="1" applyAlignment="1">
      <alignment horizontal="left" indent="1"/>
    </xf>
    <xf numFmtId="0" fontId="0" fillId="2" borderId="0" xfId="0" applyAlignment="1">
      <alignment horizontal="left" indent="1"/>
    </xf>
    <xf numFmtId="0" fontId="5" fillId="2" borderId="0" xfId="0" applyFont="1"/>
    <xf numFmtId="0" fontId="0" fillId="2" borderId="0" xfId="0" applyAlignment="1">
      <alignment vertical="center"/>
    </xf>
    <xf numFmtId="0" fontId="0" fillId="2" borderId="0" xfId="0" applyAlignment="1">
      <alignment vertical="top" wrapText="1"/>
    </xf>
    <xf numFmtId="14" fontId="0" fillId="2" borderId="0" xfId="0" applyNumberFormat="1" applyAlignment="1">
      <alignment vertical="center" wrapText="1"/>
    </xf>
    <xf numFmtId="0" fontId="0" fillId="2" borderId="0" xfId="0" applyAlignment="1">
      <alignment vertical="center" wrapText="1"/>
    </xf>
    <xf numFmtId="43" fontId="0" fillId="2" borderId="0" xfId="1" applyFont="1" applyFill="1" applyAlignment="1">
      <alignment vertical="center" wrapText="1"/>
    </xf>
    <xf numFmtId="0" fontId="3" fillId="3" borderId="2" xfId="0" applyFont="1" applyFill="1" applyBorder="1" applyAlignment="1" applyProtection="1">
      <alignment horizontal="left" vertical="top" wrapText="1"/>
      <protection locked="0"/>
    </xf>
    <xf numFmtId="0" fontId="3" fillId="3" borderId="3" xfId="0" applyFont="1" applyFill="1" applyBorder="1" applyAlignment="1" applyProtection="1">
      <alignment horizontal="left" vertical="top" wrapText="1"/>
      <protection locked="0"/>
    </xf>
    <xf numFmtId="0" fontId="3" fillId="3" borderId="4" xfId="0" applyFont="1" applyFill="1" applyBorder="1" applyAlignment="1" applyProtection="1">
      <alignment horizontal="left" vertical="top" wrapText="1"/>
      <protection locked="0"/>
    </xf>
    <xf numFmtId="43" fontId="0" fillId="2" borderId="0" xfId="1" applyFont="1" applyFill="1" applyAlignment="1">
      <alignment vertical="center"/>
    </xf>
  </cellXfs>
  <cellStyles count="3">
    <cellStyle name="Comma" xfId="1" builtinId="3"/>
    <cellStyle name="Hyperlink" xfId="2" builtinId="8" customBuiltin="1"/>
    <cellStyle name="Normal" xfId="0" builtinId="0" customBuiltin="1"/>
  </cellStyles>
  <dxfs count="12">
    <dxf>
      <alignment horizontal="general" vertical="top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9" formatCode="dd/mm/yyyy"/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701040</xdr:colOff>
      <xdr:row>0</xdr:row>
      <xdr:rowOff>83820</xdr:rowOff>
    </xdr:from>
    <xdr:to>
      <xdr:col>10</xdr:col>
      <xdr:colOff>37920</xdr:colOff>
      <xdr:row>0</xdr:row>
      <xdr:rowOff>403860</xdr:rowOff>
    </xdr:to>
    <xdr:sp macro="[0]!downloadServerData" textlink="">
      <xdr:nvSpPr>
        <xdr:cNvPr id="2" name="btDownloadAccounts">
          <a:extLst>
            <a:ext uri="{FF2B5EF4-FFF2-40B4-BE49-F238E27FC236}">
              <a16:creationId xmlns:a16="http://schemas.microsoft.com/office/drawing/2014/main" id="{B9BB6758-F1CC-4A5C-9BB8-A81E552C12F3}"/>
            </a:ext>
          </a:extLst>
        </xdr:cNvPr>
        <xdr:cNvSpPr/>
      </xdr:nvSpPr>
      <xdr:spPr>
        <a:xfrm>
          <a:off x="8084820" y="83820"/>
          <a:ext cx="1630500" cy="32004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🔽</a:t>
          </a:r>
          <a:r>
            <a:rPr lang="pt-BR" sz="1100" baseline="0"/>
            <a:t> </a:t>
          </a:r>
          <a:r>
            <a:rPr lang="pt-BR" sz="1100"/>
            <a:t>Download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472440</xdr:colOff>
      <xdr:row>0</xdr:row>
      <xdr:rowOff>76200</xdr:rowOff>
    </xdr:from>
    <xdr:to>
      <xdr:col>10</xdr:col>
      <xdr:colOff>1912440</xdr:colOff>
      <xdr:row>0</xdr:row>
      <xdr:rowOff>396240</xdr:rowOff>
    </xdr:to>
    <xdr:sp macro="[0]!uploadTransactions" textlink="">
      <xdr:nvSpPr>
        <xdr:cNvPr id="2" name="btDownloadAccounts">
          <a:extLst>
            <a:ext uri="{FF2B5EF4-FFF2-40B4-BE49-F238E27FC236}">
              <a16:creationId xmlns:a16="http://schemas.microsoft.com/office/drawing/2014/main" id="{8C21D17F-7191-4AEC-AE74-A2F5FC287764}"/>
            </a:ext>
          </a:extLst>
        </xdr:cNvPr>
        <xdr:cNvSpPr/>
      </xdr:nvSpPr>
      <xdr:spPr>
        <a:xfrm>
          <a:off x="12397740" y="76200"/>
          <a:ext cx="1440000" cy="32004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aseline="0"/>
            <a:t>🔼 </a:t>
          </a:r>
          <a:r>
            <a:rPr lang="pt-BR" sz="1100"/>
            <a:t>Upload Data</a:t>
          </a:r>
        </a:p>
      </xdr:txBody>
    </xdr:sp>
    <xdr:clientData/>
  </xdr:twoCellAnchor>
  <xdr:twoCellAnchor>
    <xdr:from>
      <xdr:col>9</xdr:col>
      <xdr:colOff>1498601</xdr:colOff>
      <xdr:row>0</xdr:row>
      <xdr:rowOff>76200</xdr:rowOff>
    </xdr:from>
    <xdr:to>
      <xdr:col>10</xdr:col>
      <xdr:colOff>409606</xdr:colOff>
      <xdr:row>0</xdr:row>
      <xdr:rowOff>396240</xdr:rowOff>
    </xdr:to>
    <xdr:sp macro="[0]!clearTransactions" textlink="">
      <xdr:nvSpPr>
        <xdr:cNvPr id="3" name="btDownloadAccounts">
          <a:extLst>
            <a:ext uri="{FF2B5EF4-FFF2-40B4-BE49-F238E27FC236}">
              <a16:creationId xmlns:a16="http://schemas.microsoft.com/office/drawing/2014/main" id="{A70D54D9-AEF4-473D-A580-EC79B3B27133}"/>
            </a:ext>
          </a:extLst>
        </xdr:cNvPr>
        <xdr:cNvSpPr/>
      </xdr:nvSpPr>
      <xdr:spPr>
        <a:xfrm>
          <a:off x="10922001" y="76200"/>
          <a:ext cx="1290138" cy="32004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aseline="0"/>
            <a:t>🗑 Clear Table</a:t>
          </a:r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D47C63-EA96-4DF5-B080-545F1BF2152E}" name="tbAccounts" displayName="tbAccounts" ref="B2:E6" totalsRowShown="0">
  <autoFilter ref="B2:E6" xr:uid="{4957F7BA-B9F5-44E5-91D6-50EA040556BB}"/>
  <tableColumns count="4">
    <tableColumn id="1" xr3:uid="{B872C8E0-067B-4269-9F98-2D6D2910D241}" name="ID"/>
    <tableColumn id="2" xr3:uid="{43BB7208-CEED-45B7-ACE3-4E6376E9ECB9}" name="Name"/>
    <tableColumn id="3" xr3:uid="{9095C9C2-0DDE-4465-B8C8-47692B4C43F5}" name="Role"/>
    <tableColumn id="4" xr3:uid="{B7C55570-C576-4DA0-BF6B-570AA251FFAA}" name="Currency ID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373FD5-88C9-4178-A9D5-E3C591D89F95}" name="tbCategories" displayName="tbCategories" ref="G2:J18" totalsRowShown="0">
  <autoFilter ref="G2:J18" xr:uid="{55EB2C8B-850A-4B16-912B-7BD54F4B93F4}"/>
  <tableColumns count="4">
    <tableColumn id="1" xr3:uid="{E9C2941E-1A5F-4225-8D22-30D842A4835C}" name="ID"/>
    <tableColumn id="2" xr3:uid="{EB67ADE3-00D9-475A-A731-9421AE4D0357}" name="Name"/>
    <tableColumn id="3" xr3:uid="{A154C732-CA7F-46BC-95E6-5F4C7B82953B}" name="Description"/>
    <tableColumn id="4" xr3:uid="{F5A19F34-E686-416F-9AE6-8FA1F5486B08}" name="Expense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1F26E3-53BF-41DA-856D-6D5BB739DAE3}" name="tbTransactions" displayName="tbTransactions" ref="B2:K6" totalsRowShown="0" headerRowDxfId="11" dataDxfId="10">
  <autoFilter ref="B2:K6" xr:uid="{765F8759-F2AC-4F16-B813-931AB88F8810}"/>
  <tableColumns count="10">
    <tableColumn id="4" xr3:uid="{11967DB1-DBF2-41D6-B284-87A8604E0544}" name="Date" dataDxfId="9"/>
    <tableColumn id="3" xr3:uid="{978B3311-8394-4504-A3E0-1D9C64DC5A2E}" name="Description" dataDxfId="8"/>
    <tableColumn id="2" xr3:uid="{FA0C74B9-4930-49A2-B642-9E03F99036C4}" name="Type" dataDxfId="7"/>
    <tableColumn id="8" xr3:uid="{1D8902B8-27FB-4890-AB43-120A15AA0D8A}" name="Amount" dataDxfId="6" dataCellStyle="Comma"/>
    <tableColumn id="9" xr3:uid="{5AAB319E-F6F2-4E11-9015-5E7D017CD9A4}" name="Source Account Type" dataDxfId="5">
      <calculatedColumnFormula>IF(OR(tbTransactions[[#This Row],[Type]]="transfer",tbTransactions[[#This Row],[Type]]="expense"),"asset account","income account")</calculatedColumnFormula>
    </tableColumn>
    <tableColumn id="5" xr3:uid="{DAFFCC97-9ECC-4F6A-B2E0-8FBE795127D3}" name="Source Account Name" dataDxfId="4"/>
    <tableColumn id="10" xr3:uid="{8046FFCC-2FB5-410A-A96F-9F2ACBB8F2B8}" name="Destination Account Type" dataDxfId="3">
      <calculatedColumnFormula>IF(OR(tbTransactions[[#This Row],[Type]]="transfer",tbTransactions[[#This Row],[Type]]="income"),"asset account","expense account")</calculatedColumnFormula>
    </tableColumn>
    <tableColumn id="6" xr3:uid="{9001AC7A-7278-4935-926E-A7AB1F6F8E38}" name="Destination Account Name" dataDxfId="2"/>
    <tableColumn id="7" xr3:uid="{DC4C0686-4CE0-4552-AAD1-D2CF399A8087}" name="Category Name" dataDxfId="1"/>
    <tableColumn id="11" xr3:uid="{2C840D2F-40F0-48DB-97FF-8F0B77A80F12}" name="Status" dataDxfId="0"/>
  </tableColumns>
  <tableStyleInfo name="TableStyleDark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27.0.0.1:8000/api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1A4C3-31B8-41C0-ABB1-BCB0CFA6CCE2}">
  <sheetPr codeName="shConfig"/>
  <dimension ref="B1:O8"/>
  <sheetViews>
    <sheetView workbookViewId="0">
      <selection activeCell="C5" sqref="C5"/>
    </sheetView>
  </sheetViews>
  <sheetFormatPr defaultRowHeight="14.4" x14ac:dyDescent="0.3"/>
  <cols>
    <col min="2" max="2" width="16.88671875" customWidth="1"/>
    <col min="3" max="3" width="27.5546875" customWidth="1"/>
  </cols>
  <sheetData>
    <row r="1" spans="2:15" ht="15" thickBot="1" x14ac:dyDescent="0.35"/>
    <row r="2" spans="2:15" ht="15.6" thickTop="1" thickBot="1" x14ac:dyDescent="0.35">
      <c r="B2" s="1" t="s">
        <v>0</v>
      </c>
      <c r="C2" s="2" t="s">
        <v>26</v>
      </c>
    </row>
    <row r="3" spans="2:15" ht="15.6" thickTop="1" thickBot="1" x14ac:dyDescent="0.35"/>
    <row r="4" spans="2:15" ht="14.4" customHeight="1" thickBot="1" x14ac:dyDescent="0.35">
      <c r="B4" s="1" t="s">
        <v>1</v>
      </c>
      <c r="C4" s="11" t="s">
        <v>27</v>
      </c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3"/>
    </row>
    <row r="6" spans="2:15" x14ac:dyDescent="0.3">
      <c r="B6" s="5" t="s">
        <v>2</v>
      </c>
    </row>
    <row r="7" spans="2:15" x14ac:dyDescent="0.3">
      <c r="B7" s="3" t="s">
        <v>3</v>
      </c>
    </row>
    <row r="8" spans="2:15" x14ac:dyDescent="0.3">
      <c r="B8" s="4" t="s">
        <v>4</v>
      </c>
    </row>
  </sheetData>
  <sheetProtection selectLockedCells="1" selectUnlockedCells="1"/>
  <mergeCells count="1">
    <mergeCell ref="C4:O4"/>
  </mergeCells>
  <hyperlinks>
    <hyperlink ref="C2" r:id="rId1" xr:uid="{83350DC1-5208-4DD3-8345-973D7118B0FC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63640-4FC0-40AE-A72D-CF36D9966573}">
  <sheetPr codeName="shFilters"/>
  <dimension ref="B1:F14"/>
  <sheetViews>
    <sheetView workbookViewId="0">
      <selection activeCell="E2" sqref="E2"/>
    </sheetView>
  </sheetViews>
  <sheetFormatPr defaultRowHeight="14.4" x14ac:dyDescent="0.3"/>
  <cols>
    <col min="1" max="1" width="5.109375" customWidth="1"/>
    <col min="2" max="2" width="25.5546875" bestFit="1" customWidth="1"/>
    <col min="3" max="4" width="34.6640625" bestFit="1" customWidth="1"/>
    <col min="5" max="5" width="32.6640625" bestFit="1" customWidth="1"/>
    <col min="6" max="6" width="16.6640625" bestFit="1" customWidth="1"/>
  </cols>
  <sheetData>
    <row r="1" spans="2:6" x14ac:dyDescent="0.3">
      <c r="B1" s="5" t="s">
        <v>5</v>
      </c>
      <c r="C1" s="5" t="s">
        <v>6</v>
      </c>
      <c r="D1" s="5" t="s">
        <v>7</v>
      </c>
      <c r="E1" s="5" t="s">
        <v>54</v>
      </c>
      <c r="F1" s="5" t="s">
        <v>55</v>
      </c>
    </row>
    <row r="2" spans="2:6" x14ac:dyDescent="0.3">
      <c r="B2" t="str" cm="1">
        <f t="array" ref="B2">_xlfn._xlws.SORT(_xlfn._xlws.FILTER(tbAccounts[Name],--(tbAccounts[Role]&lt;&gt;"incomeAccount")*--(tbAccounts[Role]&lt;&gt;"expenseAccount")))</f>
        <v>Santander</v>
      </c>
      <c r="C2" t="str" cm="1">
        <f t="array" ref="C2">_xlfn._xlws.SORT(_xlfn._xlws.FILTER(tbAccounts[Name],tbAccounts[Role]="expenseAccount"))</f>
        <v>PDA</v>
      </c>
      <c r="D2" t="str" cm="1">
        <f t="array" ref="D2:D3">_xlfn._xlws.SORT(_xlfn._xlws.FILTER(tbAccounts[Name],tbAccounts[Role]="incomeAccount"))</f>
        <v>Aluguel</v>
      </c>
      <c r="E2" t="str" cm="1">
        <f t="array" ref="E2:E14">_xlfn._xlws.SORT(_xlfn._xlws.FILTER(tbCategories[Name],tbCategories[Expense]=1))</f>
        <v>Aluguel / Financiamento / Condomínio</v>
      </c>
      <c r="F2" t="str" cm="1">
        <f t="array" ref="F2:F4">_xlfn._xlws.SORT(_xlfn._xlws.FILTER(tbCategories[Name],tbCategories[Expense]=0))</f>
        <v>Outras fontes</v>
      </c>
    </row>
    <row r="3" spans="2:6" x14ac:dyDescent="0.3">
      <c r="D3" t="str">
        <v>HABB</v>
      </c>
      <c r="E3" t="str">
        <v>Casa: reparos e materiais</v>
      </c>
      <c r="F3" t="str">
        <v>Rendimentos de investimentos</v>
      </c>
    </row>
    <row r="4" spans="2:6" x14ac:dyDescent="0.3">
      <c r="E4" t="str">
        <v>Compras Eventuais</v>
      </c>
      <c r="F4" t="str">
        <v>Salário</v>
      </c>
    </row>
    <row r="5" spans="2:6" x14ac:dyDescent="0.3">
      <c r="E5" t="str">
        <v>Concessionárias</v>
      </c>
    </row>
    <row r="6" spans="2:6" x14ac:dyDescent="0.3">
      <c r="E6" t="str">
        <v>Economias para férias</v>
      </c>
    </row>
    <row r="7" spans="2:6" x14ac:dyDescent="0.3">
      <c r="E7" t="str">
        <v>Economias para gastos futuros</v>
      </c>
    </row>
    <row r="8" spans="2:6" x14ac:dyDescent="0.3">
      <c r="E8" t="str">
        <v>Internet / TV / Telefone</v>
      </c>
    </row>
    <row r="9" spans="2:6" x14ac:dyDescent="0.3">
      <c r="E9" t="str">
        <v>Jantar, Refeições e delivery de comida</v>
      </c>
    </row>
    <row r="10" spans="2:6" x14ac:dyDescent="0.3">
      <c r="E10" t="str">
        <v>Mensalidades</v>
      </c>
    </row>
    <row r="11" spans="2:6" x14ac:dyDescent="0.3">
      <c r="E11" t="str">
        <v>Mercado</v>
      </c>
    </row>
    <row r="12" spans="2:6" x14ac:dyDescent="0.3">
      <c r="E12" t="str">
        <v>Presentes e doações</v>
      </c>
    </row>
    <row r="13" spans="2:6" x14ac:dyDescent="0.3">
      <c r="E13" t="str">
        <v>Taxis e despesas relacionadas a Carro</v>
      </c>
    </row>
    <row r="14" spans="2:6" x14ac:dyDescent="0.3">
      <c r="E14" t="str">
        <v>Vestuário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284AD-9946-48E1-8470-F849BA55698C}">
  <sheetPr codeName="shServerData"/>
  <dimension ref="B1:J18"/>
  <sheetViews>
    <sheetView zoomScaleNormal="100" workbookViewId="0">
      <pane ySplit="2" topLeftCell="A3" activePane="bottomLeft" state="frozen"/>
      <selection pane="bottomLeft" activeCell="K1" sqref="K1"/>
    </sheetView>
  </sheetViews>
  <sheetFormatPr defaultRowHeight="14.4" x14ac:dyDescent="0.3"/>
  <cols>
    <col min="1" max="1" width="3.6640625" customWidth="1"/>
    <col min="2" max="2" width="5.33203125" customWidth="1"/>
    <col min="3" max="3" width="28.6640625" customWidth="1"/>
    <col min="4" max="4" width="14.77734375" bestFit="1" customWidth="1"/>
    <col min="5" max="5" width="13" bestFit="1" customWidth="1"/>
    <col min="6" max="6" width="4.5546875" customWidth="1"/>
    <col min="7" max="7" width="5" bestFit="1" customWidth="1"/>
    <col min="8" max="8" width="32.6640625" bestFit="1" customWidth="1"/>
    <col min="9" max="9" width="23.33203125" bestFit="1" customWidth="1"/>
    <col min="10" max="10" width="10.109375" bestFit="1" customWidth="1"/>
  </cols>
  <sheetData>
    <row r="1" spans="2:10" ht="38.4" customHeight="1" x14ac:dyDescent="0.3">
      <c r="B1" s="1" t="s">
        <v>8</v>
      </c>
      <c r="G1" s="1" t="s">
        <v>9</v>
      </c>
      <c r="I1" s="1"/>
    </row>
    <row r="2" spans="2:10" x14ac:dyDescent="0.3">
      <c r="B2" t="s">
        <v>10</v>
      </c>
      <c r="C2" t="s">
        <v>11</v>
      </c>
      <c r="D2" t="s">
        <v>31</v>
      </c>
      <c r="E2" t="s">
        <v>32</v>
      </c>
      <c r="G2" t="s">
        <v>10</v>
      </c>
      <c r="H2" t="s">
        <v>11</v>
      </c>
      <c r="I2" t="s">
        <v>15</v>
      </c>
      <c r="J2" t="s">
        <v>51</v>
      </c>
    </row>
    <row r="3" spans="2:10" x14ac:dyDescent="0.3">
      <c r="B3">
        <v>1</v>
      </c>
      <c r="C3" t="s">
        <v>24</v>
      </c>
      <c r="D3" t="s">
        <v>33</v>
      </c>
      <c r="E3">
        <v>1</v>
      </c>
      <c r="G3">
        <v>1</v>
      </c>
      <c r="H3" t="s">
        <v>36</v>
      </c>
      <c r="J3">
        <v>1</v>
      </c>
    </row>
    <row r="4" spans="2:10" x14ac:dyDescent="0.3">
      <c r="B4">
        <v>2</v>
      </c>
      <c r="C4" t="s">
        <v>28</v>
      </c>
      <c r="D4" t="s">
        <v>34</v>
      </c>
      <c r="E4">
        <v>1</v>
      </c>
      <c r="G4">
        <v>2</v>
      </c>
      <c r="H4" t="s">
        <v>37</v>
      </c>
      <c r="J4">
        <v>1</v>
      </c>
    </row>
    <row r="5" spans="2:10" x14ac:dyDescent="0.3">
      <c r="B5">
        <v>3</v>
      </c>
      <c r="C5" t="s">
        <v>29</v>
      </c>
      <c r="D5" t="s">
        <v>35</v>
      </c>
      <c r="E5">
        <v>1</v>
      </c>
      <c r="G5">
        <v>3</v>
      </c>
      <c r="H5" t="s">
        <v>25</v>
      </c>
      <c r="I5" t="s">
        <v>38</v>
      </c>
      <c r="J5">
        <v>1</v>
      </c>
    </row>
    <row r="6" spans="2:10" x14ac:dyDescent="0.3">
      <c r="B6">
        <v>4</v>
      </c>
      <c r="C6" t="s">
        <v>30</v>
      </c>
      <c r="D6" t="s">
        <v>34</v>
      </c>
      <c r="G6">
        <v>4</v>
      </c>
      <c r="H6" t="s">
        <v>39</v>
      </c>
      <c r="J6">
        <v>1</v>
      </c>
    </row>
    <row r="7" spans="2:10" x14ac:dyDescent="0.3">
      <c r="G7">
        <v>5</v>
      </c>
      <c r="H7" t="s">
        <v>23</v>
      </c>
      <c r="J7">
        <v>1</v>
      </c>
    </row>
    <row r="8" spans="2:10" x14ac:dyDescent="0.3">
      <c r="G8">
        <v>6</v>
      </c>
      <c r="H8" t="s">
        <v>40</v>
      </c>
      <c r="J8">
        <v>1</v>
      </c>
    </row>
    <row r="9" spans="2:10" x14ac:dyDescent="0.3">
      <c r="G9">
        <v>7</v>
      </c>
      <c r="H9" t="s">
        <v>41</v>
      </c>
      <c r="J9">
        <v>1</v>
      </c>
    </row>
    <row r="10" spans="2:10" x14ac:dyDescent="0.3">
      <c r="G10">
        <v>8</v>
      </c>
      <c r="H10" t="s">
        <v>42</v>
      </c>
      <c r="J10">
        <v>1</v>
      </c>
    </row>
    <row r="11" spans="2:10" x14ac:dyDescent="0.3">
      <c r="G11">
        <v>10</v>
      </c>
      <c r="H11" t="s">
        <v>43</v>
      </c>
      <c r="J11">
        <v>1</v>
      </c>
    </row>
    <row r="12" spans="2:10" x14ac:dyDescent="0.3">
      <c r="G12">
        <v>11</v>
      </c>
      <c r="H12" t="s">
        <v>44</v>
      </c>
      <c r="J12">
        <v>1</v>
      </c>
    </row>
    <row r="13" spans="2:10" x14ac:dyDescent="0.3">
      <c r="G13">
        <v>12</v>
      </c>
      <c r="H13" t="s">
        <v>45</v>
      </c>
      <c r="J13">
        <v>1</v>
      </c>
    </row>
    <row r="14" spans="2:10" x14ac:dyDescent="0.3">
      <c r="G14">
        <v>13</v>
      </c>
      <c r="H14" t="s">
        <v>46</v>
      </c>
      <c r="J14">
        <v>1</v>
      </c>
    </row>
    <row r="15" spans="2:10" x14ac:dyDescent="0.3">
      <c r="G15">
        <v>14</v>
      </c>
      <c r="H15" t="s">
        <v>47</v>
      </c>
      <c r="J15">
        <v>1</v>
      </c>
    </row>
    <row r="16" spans="2:10" x14ac:dyDescent="0.3">
      <c r="G16">
        <v>15</v>
      </c>
      <c r="H16" t="s">
        <v>48</v>
      </c>
      <c r="J16">
        <v>0</v>
      </c>
    </row>
    <row r="17" spans="7:10" x14ac:dyDescent="0.3">
      <c r="G17">
        <v>16</v>
      </c>
      <c r="H17" t="s">
        <v>49</v>
      </c>
      <c r="J17">
        <v>0</v>
      </c>
    </row>
    <row r="18" spans="7:10" x14ac:dyDescent="0.3">
      <c r="G18">
        <v>17</v>
      </c>
      <c r="H18" t="s">
        <v>50</v>
      </c>
      <c r="J18">
        <v>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7E62C-1696-4EF1-BF5B-30F9CEB535F0}">
  <sheetPr codeName="shTransactions"/>
  <dimension ref="B1:K6"/>
  <sheetViews>
    <sheetView tabSelected="1" zoomScale="90" zoomScaleNormal="90" workbookViewId="0">
      <pane ySplit="2" topLeftCell="A3" activePane="bottomLeft" state="frozen"/>
      <selection pane="bottomLeft" activeCell="C4" sqref="C4"/>
    </sheetView>
  </sheetViews>
  <sheetFormatPr defaultRowHeight="14.4" x14ac:dyDescent="0.3"/>
  <cols>
    <col min="1" max="1" width="2.109375" customWidth="1"/>
    <col min="2" max="2" width="12.6640625" bestFit="1" customWidth="1"/>
    <col min="3" max="3" width="35.21875" bestFit="1" customWidth="1"/>
    <col min="4" max="5" width="11" customWidth="1"/>
    <col min="6" max="6" width="16.109375" customWidth="1"/>
    <col min="7" max="7" width="17.6640625" customWidth="1"/>
    <col min="8" max="8" width="15.6640625" customWidth="1"/>
    <col min="9" max="9" width="15.88671875" customWidth="1"/>
    <col min="10" max="10" width="34.6640625" customWidth="1"/>
    <col min="11" max="11" width="28.6640625" customWidth="1"/>
  </cols>
  <sheetData>
    <row r="1" spans="2:11" ht="36.6" customHeight="1" x14ac:dyDescent="0.3">
      <c r="B1" s="1" t="s">
        <v>13</v>
      </c>
    </row>
    <row r="2" spans="2:11" ht="31.2" customHeight="1" x14ac:dyDescent="0.3">
      <c r="B2" s="7" t="s">
        <v>14</v>
      </c>
      <c r="C2" s="7" t="s">
        <v>15</v>
      </c>
      <c r="D2" s="7" t="s">
        <v>12</v>
      </c>
      <c r="E2" s="7" t="s">
        <v>16</v>
      </c>
      <c r="F2" s="7" t="s">
        <v>17</v>
      </c>
      <c r="G2" s="7" t="s">
        <v>18</v>
      </c>
      <c r="H2" s="7" t="s">
        <v>19</v>
      </c>
      <c r="I2" s="7" t="s">
        <v>20</v>
      </c>
      <c r="J2" s="7" t="s">
        <v>21</v>
      </c>
      <c r="K2" s="7" t="s">
        <v>22</v>
      </c>
    </row>
    <row r="3" spans="2:11" ht="28.8" x14ac:dyDescent="0.3">
      <c r="B3" s="8">
        <v>44360</v>
      </c>
      <c r="C3" s="9" t="s">
        <v>52</v>
      </c>
      <c r="D3" s="9" t="s">
        <v>53</v>
      </c>
      <c r="E3" s="10">
        <v>200</v>
      </c>
      <c r="F3" s="9" t="str">
        <f>IF(OR(tbTransactions[[#This Row],[Type]]="transfer",tbTransactions[[#This Row],[Type]]="expense"),"asset account","income account")</f>
        <v>income account</v>
      </c>
      <c r="G3" s="6" t="s">
        <v>28</v>
      </c>
      <c r="H3" s="9" t="str">
        <f>IF(OR(tbTransactions[[#This Row],[Type]]="transfer",tbTransactions[[#This Row],[Type]]="income"),"asset account","expense account")</f>
        <v>asset account</v>
      </c>
      <c r="I3" s="9" t="s">
        <v>24</v>
      </c>
      <c r="J3" s="9" t="s">
        <v>49</v>
      </c>
      <c r="K3" s="7" t="s">
        <v>56</v>
      </c>
    </row>
    <row r="4" spans="2:11" ht="28.8" x14ac:dyDescent="0.3">
      <c r="B4" s="8">
        <v>44365</v>
      </c>
      <c r="C4" s="6" t="s">
        <v>57</v>
      </c>
      <c r="D4" s="6" t="s">
        <v>60</v>
      </c>
      <c r="E4" s="14">
        <v>23</v>
      </c>
      <c r="F4" s="6" t="str">
        <f>IF(OR(tbTransactions[[#This Row],[Type]]="transfer",tbTransactions[[#This Row],[Type]]="expense"),"asset account","income account")</f>
        <v>asset account</v>
      </c>
      <c r="G4" s="6" t="s">
        <v>24</v>
      </c>
      <c r="H4" s="6" t="str">
        <f>IF(OR(tbTransactions[[#This Row],[Type]]="transfer",tbTransactions[[#This Row],[Type]]="income"),"asset account","expense account")</f>
        <v>asset account</v>
      </c>
      <c r="I4" s="6" t="s">
        <v>24</v>
      </c>
      <c r="J4" s="6"/>
      <c r="K4" s="7" t="s">
        <v>65</v>
      </c>
    </row>
    <row r="5" spans="2:11" ht="28.8" x14ac:dyDescent="0.3">
      <c r="B5" s="8">
        <v>44362</v>
      </c>
      <c r="C5" s="6" t="s">
        <v>58</v>
      </c>
      <c r="D5" s="6" t="s">
        <v>61</v>
      </c>
      <c r="E5" s="14">
        <v>22</v>
      </c>
      <c r="F5" s="6" t="str">
        <f>IF(OR(tbTransactions[[#This Row],[Type]]="transfer",tbTransactions[[#This Row],[Type]]="expense"),"asset account","income account")</f>
        <v>asset account</v>
      </c>
      <c r="G5" s="6" t="s">
        <v>24</v>
      </c>
      <c r="H5" s="6" t="str">
        <f>IF(OR(tbTransactions[[#This Row],[Type]]="transfer",tbTransactions[[#This Row],[Type]]="income"),"asset account","expense account")</f>
        <v>expense account</v>
      </c>
      <c r="I5" s="6" t="s">
        <v>62</v>
      </c>
      <c r="J5" s="6" t="s">
        <v>23</v>
      </c>
      <c r="K5" s="7" t="s">
        <v>63</v>
      </c>
    </row>
    <row r="6" spans="2:11" ht="28.8" x14ac:dyDescent="0.3">
      <c r="B6" s="8">
        <v>44364</v>
      </c>
      <c r="C6" s="6" t="s">
        <v>59</v>
      </c>
      <c r="D6" s="6" t="s">
        <v>61</v>
      </c>
      <c r="E6" s="14">
        <v>2223</v>
      </c>
      <c r="F6" s="6" t="str">
        <f>IF(OR(tbTransactions[[#This Row],[Type]]="transfer",tbTransactions[[#This Row],[Type]]="expense"),"asset account","income account")</f>
        <v>asset account</v>
      </c>
      <c r="G6" s="6" t="s">
        <v>24</v>
      </c>
      <c r="H6" s="6" t="str">
        <f>IF(OR(tbTransactions[[#This Row],[Type]]="transfer",tbTransactions[[#This Row],[Type]]="income"),"asset account","expense account")</f>
        <v>expense account</v>
      </c>
      <c r="I6" s="6" t="s">
        <v>29</v>
      </c>
      <c r="J6" s="6" t="s">
        <v>23</v>
      </c>
      <c r="K6" s="7" t="s">
        <v>64</v>
      </c>
    </row>
  </sheetData>
  <dataValidations count="9">
    <dataValidation type="list" allowBlank="1" showInputMessage="1" showErrorMessage="1" sqref="D20003:D1048576" xr:uid="{92B75DEF-D1CF-43E3-A36A-BBAF3D5A2690}">
      <formula1>"withdrawal,deposit,transfer"</formula1>
    </dataValidation>
    <dataValidation type="list" allowBlank="1" sqref="J20003:J1048576" xr:uid="{6D000C47-8445-4DBC-BF2C-84A6B84574EF}">
      <formula1>listExpenseCategories</formula1>
    </dataValidation>
    <dataValidation allowBlank="1" showInputMessage="1" showErrorMessage="1" promptTitle="Not for Input" prompt="This column is reserved for showing the status after uploading transactions" sqref="K3:K1048576" xr:uid="{78434886-502C-441A-A34E-04E668AEA3FB}"/>
    <dataValidation type="list" allowBlank="1" showInputMessage="1" showErrorMessage="1" sqref="D3:D20002" xr:uid="{7F53305E-402E-4576-B1A9-A6B405448CC5}">
      <formula1>"income,expense,transfer"</formula1>
    </dataValidation>
    <dataValidation type="list" allowBlank="1" showInputMessage="1" promptTitle="Select Transaction Type First" prompt="Name of the destination account. For a deposit or a transfer, this must always be an asset account. For withdrawals this must be an expense account." sqref="I20003:I1048576" xr:uid="{A8D90F29-035E-466A-B1B7-74AAE9D6A30E}">
      <formula1>IF($H20003="asset account",assetAccountNames,expenseAccountNames)</formula1>
    </dataValidation>
    <dataValidation type="list" allowBlank="1" showInputMessage="1" promptTitle="Select Transaction Type First" prompt="Name of the source account. For a withdrawal or a transfer, this must always be an asset account. For deposits, this must be a revenue account. " sqref="G20003:G1048576" xr:uid="{F412B639-B27D-4469-AEDD-201861E1799A}">
      <formula1>IF($F20003="asset account",assetAccountNames,revenueAccountNames)</formula1>
    </dataValidation>
    <dataValidation type="list" allowBlank="1" showInputMessage="1" promptTitle="Select Transaction Type First" prompt="Name of the destination account. For a income or a transfer, this must always be an asset account. For expense this must be an expense account." sqref="I3:I20002" xr:uid="{5D43D5CF-622A-4376-A655-32D986C65E64}">
      <formula1>IF($H3="asset account",assetAccountNames,expenseAccountNames)</formula1>
    </dataValidation>
    <dataValidation type="list" allowBlank="1" showInputMessage="1" promptTitle="Select Transaction Type First" prompt="Name of the source account. For a expense or a transfer, this must always be an asset account. For income, this must be a income account. " sqref="G3:G20002" xr:uid="{0D972F63-65C8-4921-B1F0-2ACDF11C295D}">
      <formula1>IF($F3="asset account",assetAccountNames,revenueAccountNames)</formula1>
    </dataValidation>
    <dataValidation type="list" allowBlank="1" sqref="J3:J20002" xr:uid="{3282B689-62CE-4D54-B133-F8AE9F5C6E03}">
      <formula1>IF($D3="income",listIncomeCategories,listExpenseCategories)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51AE25-23C9-4B02-A4AD-88027B9AA7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Start Here</vt:lpstr>
      <vt:lpstr>Filters</vt:lpstr>
      <vt:lpstr>Server data</vt:lpstr>
      <vt:lpstr>Transactions</vt:lpstr>
      <vt:lpstr>apiToken</vt:lpstr>
      <vt:lpstr>serverAddress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dear-budget</dc:creator>
  <cp:keywords/>
  <dc:description/>
  <cp:lastModifiedBy>Rafael Atique Claudio</cp:lastModifiedBy>
  <cp:revision/>
  <dcterms:created xsi:type="dcterms:W3CDTF">2021-02-17T20:51:19Z</dcterms:created>
  <dcterms:modified xsi:type="dcterms:W3CDTF">2021-06-13T18:34:48Z</dcterms:modified>
  <cp:category/>
  <cp:contentStatus/>
</cp:coreProperties>
</file>